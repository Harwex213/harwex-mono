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o\Desktop\faenwald\"/>
    </mc:Choice>
  </mc:AlternateContent>
  <xr:revisionPtr revIDLastSave="0" documentId="13_ncr:1_{109FFED4-8E5F-455C-9795-E82457126C66}" xr6:coauthVersionLast="47" xr6:coauthVersionMax="47" xr10:uidLastSave="{00000000-0000-0000-0000-000000000000}"/>
  <bookViews>
    <workbookView xWindow="-120" yWindow="-120" windowWidth="29040" windowHeight="15840" xr2:uid="{265C24E6-A740-417A-8568-B8D9BBB7780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6" i="1"/>
  <c r="M6" i="1"/>
  <c r="L6" i="1"/>
  <c r="K6" i="1"/>
  <c r="M5" i="1"/>
  <c r="L5" i="1"/>
  <c r="K5" i="1"/>
  <c r="M4" i="1"/>
  <c r="L4" i="1"/>
  <c r="K4" i="1"/>
  <c r="K26" i="1"/>
  <c r="K22" i="1" l="1"/>
  <c r="N22" i="1" s="1"/>
  <c r="K21" i="1"/>
  <c r="N21" i="1" s="1"/>
  <c r="K19" i="1"/>
  <c r="N19" i="1" s="1"/>
  <c r="K16" i="1"/>
  <c r="N16" i="1" s="1"/>
  <c r="G19" i="1"/>
  <c r="N37" i="1"/>
  <c r="N36" i="1"/>
  <c r="N35" i="1"/>
  <c r="N34" i="1"/>
  <c r="N33" i="1"/>
  <c r="N28" i="1"/>
  <c r="N27" i="1"/>
  <c r="N26" i="1"/>
  <c r="N25" i="1"/>
  <c r="N24" i="1"/>
  <c r="N23" i="1"/>
  <c r="N20" i="1"/>
  <c r="N18" i="1"/>
  <c r="N17" i="1"/>
  <c r="N15" i="1"/>
  <c r="N14" i="1"/>
  <c r="K30" i="1"/>
  <c r="K28" i="1"/>
  <c r="K27" i="1"/>
  <c r="K25" i="1"/>
  <c r="K23" i="1"/>
  <c r="K20" i="1"/>
  <c r="K18" i="1"/>
  <c r="K17" i="1"/>
  <c r="K15" i="1"/>
  <c r="M10" i="1"/>
  <c r="M9" i="1"/>
  <c r="K10" i="1"/>
  <c r="K9" i="1"/>
  <c r="E14" i="1" l="1"/>
  <c r="E11" i="1" l="1"/>
  <c r="H10" i="1" s="1"/>
  <c r="C10" i="1"/>
  <c r="H6" i="1"/>
  <c r="C6" i="1"/>
  <c r="K14" i="1"/>
  <c r="N30" i="1" s="1"/>
  <c r="E13" i="1" s="1"/>
  <c r="G21" i="1" l="1"/>
  <c r="H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filon</author>
  </authors>
  <commentList>
    <comment ref="N3" authorId="0" shapeId="0" xr:uid="{F6B1E279-E076-4C48-BA03-488C3FB80D81}">
      <text>
        <r>
          <rPr>
            <b/>
            <sz val="9"/>
            <color indexed="81"/>
            <rFont val="Tahoma"/>
            <family val="2"/>
            <charset val="204"/>
          </rPr>
          <t>*базово - не более 4 малых/2 средних/1 глобальной в ход</t>
        </r>
      </text>
    </comment>
    <comment ref="F13" authorId="0" shapeId="0" xr:uid="{7032DAFA-DB45-41FD-97B8-3589A38A90D3}">
      <text>
        <r>
          <rPr>
            <b/>
            <sz val="9"/>
            <color indexed="81"/>
            <rFont val="Tahoma"/>
            <family val="2"/>
            <charset val="204"/>
          </rPr>
          <t>Только титулы в вашем ПРЯМОМ владении. Титулы ваших вассалов не считаются!</t>
        </r>
      </text>
    </comment>
    <comment ref="H13" authorId="0" shapeId="0" xr:uid="{94E7B44B-2F82-439D-B655-A46DC3E6CA99}">
      <text>
        <r>
          <rPr>
            <b/>
            <sz val="9"/>
            <color indexed="81"/>
            <rFont val="Tahoma"/>
            <family val="2"/>
            <charset val="204"/>
          </rPr>
          <t>Вносите сюда доход от титула в ИО, если он есть</t>
        </r>
      </text>
    </comment>
    <comment ref="L13" authorId="0" shapeId="0" xr:uid="{B9A6A5A4-3C4A-45BA-89E4-0EED878E15B7}">
      <text>
        <r>
          <rPr>
            <b/>
            <sz val="9"/>
            <color indexed="81"/>
            <rFont val="Tahoma"/>
            <family val="2"/>
            <charset val="204"/>
          </rPr>
          <t>Не больше 20% от реформ. Распространяется на содержание.</t>
        </r>
      </text>
    </comment>
    <comment ref="M13" authorId="0" shapeId="0" xr:uid="{C069E364-822F-4F09-A46C-01F5D2A3D6CA}">
      <text>
        <r>
          <rPr>
            <sz val="9"/>
            <color indexed="81"/>
            <rFont val="Tahoma"/>
            <family val="2"/>
            <charset val="204"/>
          </rPr>
          <t>1 - 100 человек. Если их меньше, указывайте дробь (0,35 например)</t>
        </r>
      </text>
    </comment>
    <comment ref="J24" authorId="0" shapeId="0" xr:uid="{1B0C2B55-ABF6-42B9-A953-2D07B79E4D69}">
      <text>
        <r>
          <rPr>
            <b/>
            <sz val="9"/>
            <color indexed="81"/>
            <rFont val="Tahoma"/>
            <family val="2"/>
            <charset val="204"/>
          </rPr>
          <t xml:space="preserve">Только с технологией
</t>
        </r>
      </text>
    </comment>
    <comment ref="J26" authorId="0" shapeId="0" xr:uid="{4A8C2AD7-1D4B-46DA-94F1-BA78EF991CBA}">
      <text>
        <r>
          <rPr>
            <b/>
            <sz val="9"/>
            <color indexed="81"/>
            <rFont val="Tahoma"/>
            <family val="2"/>
            <charset val="204"/>
          </rPr>
          <t>Только с технологией</t>
        </r>
      </text>
    </comment>
    <comment ref="L29" authorId="0" shapeId="0" xr:uid="{0E1F2CD5-AFA6-4389-BCBB-E4A0C14DFCCA}">
      <text>
        <r>
          <rPr>
            <b/>
            <sz val="9"/>
            <color indexed="81"/>
            <rFont val="Tahoma"/>
            <family val="2"/>
            <charset val="204"/>
          </rPr>
          <t>Общая скидка на содержание армии. Не более 20% реформами совокупно со скидкой на найм</t>
        </r>
      </text>
    </comment>
    <comment ref="J32" authorId="0" shapeId="0" xr:uid="{DEA14405-4D42-463E-8B6B-8B3E4051183F}">
      <text>
        <r>
          <rPr>
            <b/>
            <sz val="9"/>
            <color indexed="81"/>
            <rFont val="Tahoma"/>
            <family val="2"/>
            <charset val="204"/>
          </rPr>
          <t>По умолчанию название баронства. Можете поменять при желании.</t>
        </r>
      </text>
    </comment>
  </commentList>
</comments>
</file>

<file path=xl/sharedStrings.xml><?xml version="1.0" encoding="utf-8"?>
<sst xmlns="http://schemas.openxmlformats.org/spreadsheetml/2006/main" count="95" uniqueCount="84">
  <si>
    <t>Текущее население</t>
  </si>
  <si>
    <t>Эфф. сбора</t>
  </si>
  <si>
    <t>Доход</t>
  </si>
  <si>
    <t>Новое население</t>
  </si>
  <si>
    <t>Имп. налог</t>
  </si>
  <si>
    <t>Оборот экономики</t>
  </si>
  <si>
    <t>Новый оборот</t>
  </si>
  <si>
    <t>Прирост оборота</t>
  </si>
  <si>
    <t>Домен</t>
  </si>
  <si>
    <t>Феод. налог</t>
  </si>
  <si>
    <t>Прирост населения</t>
  </si>
  <si>
    <t>Вассалы</t>
  </si>
  <si>
    <t>Доход (сюз.)</t>
  </si>
  <si>
    <t>Феод. помощь</t>
  </si>
  <si>
    <t>Расходы</t>
  </si>
  <si>
    <t>Доп. доходы</t>
  </si>
  <si>
    <t>Сод. армии</t>
  </si>
  <si>
    <t>Имперские очки</t>
  </si>
  <si>
    <t>Оборот вассалов</t>
  </si>
  <si>
    <t>Сюз. налог</t>
  </si>
  <si>
    <t>Количество</t>
  </si>
  <si>
    <t>Баронства</t>
  </si>
  <si>
    <t>Виконтства</t>
  </si>
  <si>
    <t>Графства</t>
  </si>
  <si>
    <t>Герцогства</t>
  </si>
  <si>
    <t>Королевства</t>
  </si>
  <si>
    <t>Имп. титулы</t>
  </si>
  <si>
    <t>Прид. титулы</t>
  </si>
  <si>
    <t>Доп. прирост</t>
  </si>
  <si>
    <t>Титулы</t>
  </si>
  <si>
    <t>Старая казна</t>
  </si>
  <si>
    <t>Чист. доход</t>
  </si>
  <si>
    <t>Новая казна</t>
  </si>
  <si>
    <t>Налог на воздух</t>
  </si>
  <si>
    <t>Стоимость реформ</t>
  </si>
  <si>
    <t>Фин./Тип</t>
  </si>
  <si>
    <t>Малая</t>
  </si>
  <si>
    <t>Средняя</t>
  </si>
  <si>
    <t>Глобальная</t>
  </si>
  <si>
    <t>Агентура</t>
  </si>
  <si>
    <t>Минимум</t>
  </si>
  <si>
    <t>Средне</t>
  </si>
  <si>
    <t>Максимум</t>
  </si>
  <si>
    <t>Ополчение</t>
  </si>
  <si>
    <t>Авторитет</t>
  </si>
  <si>
    <t>ТФ вассалов</t>
  </si>
  <si>
    <t>ТФ ленников</t>
  </si>
  <si>
    <t>Тип в. ТФ</t>
  </si>
  <si>
    <t>Тип л. ТФ</t>
  </si>
  <si>
    <t>Беспл. фаз войны в ход</t>
  </si>
  <si>
    <t>Регуляры</t>
  </si>
  <si>
    <t>Л. копейщики</t>
  </si>
  <si>
    <t>Стоимость</t>
  </si>
  <si>
    <t>Скидка</t>
  </si>
  <si>
    <t>C. копейщики</t>
  </si>
  <si>
    <t>Т. копейщики</t>
  </si>
  <si>
    <t>Топорщики</t>
  </si>
  <si>
    <t>Мечники</t>
  </si>
  <si>
    <t>Клевеносцы</t>
  </si>
  <si>
    <t>Л. кавалерия</t>
  </si>
  <si>
    <t>С. кавалерия</t>
  </si>
  <si>
    <t>Лучники</t>
  </si>
  <si>
    <t>Лонгбоумены</t>
  </si>
  <si>
    <t>Кон. лучники</t>
  </si>
  <si>
    <t>Арбалетчики</t>
  </si>
  <si>
    <t>Т. кавалерия</t>
  </si>
  <si>
    <t>Содержание</t>
  </si>
  <si>
    <t>Инженеры</t>
  </si>
  <si>
    <t>Медики</t>
  </si>
  <si>
    <t>нет</t>
  </si>
  <si>
    <t>Лимит</t>
  </si>
  <si>
    <t>Лимит (чел.)</t>
  </si>
  <si>
    <t>В войне?</t>
  </si>
  <si>
    <t>Нет</t>
  </si>
  <si>
    <t>Скидка с.</t>
  </si>
  <si>
    <t>`</t>
  </si>
  <si>
    <t>Доменные крепости</t>
  </si>
  <si>
    <t xml:space="preserve">Название </t>
  </si>
  <si>
    <t>Уровень</t>
  </si>
  <si>
    <t>Родовое поместье</t>
  </si>
  <si>
    <t>Тип отряда</t>
  </si>
  <si>
    <t>Сод. крепостей</t>
  </si>
  <si>
    <t>Налоговая отчетность [ваш основной титул] за 1 ход</t>
  </si>
  <si>
    <t>Прирост/кол-во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</si>
</sst>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charset val="204"/>
      <scheme val="minor"/>
    </font>
    <font>
      <sz val="11"/>
      <color theme="1"/>
      <name val="Abibas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0"/>
      <name val="Abibas"/>
      <charset val="204"/>
    </font>
    <font>
      <b/>
      <sz val="11"/>
      <color theme="0"/>
      <name val="Abibas"/>
      <charset val="204"/>
    </font>
  </fonts>
  <fills count="32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theme="9" tint="0.59999389629810485"/>
        <bgColor rgb="FF9CC2E5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rgb="FF9CC2E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54CC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33A8FF"/>
        <bgColor indexed="64"/>
      </patternFill>
    </fill>
    <fill>
      <patternFill patternType="solid">
        <fgColor rgb="FF89CCFF"/>
        <bgColor indexed="64"/>
      </patternFill>
    </fill>
    <fill>
      <patternFill patternType="solid">
        <fgColor rgb="FF57257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38B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68832"/>
        <bgColor indexed="64"/>
      </patternFill>
    </fill>
    <fill>
      <patternFill patternType="solid">
        <fgColor rgb="FFE9C093"/>
        <bgColor indexed="64"/>
      </patternFill>
    </fill>
    <fill>
      <patternFill patternType="solid">
        <fgColor rgb="FFCDACE6"/>
        <bgColor indexed="64"/>
      </patternFill>
    </fill>
    <fill>
      <patternFill patternType="solid">
        <fgColor rgb="FFB54B73"/>
        <bgColor indexed="64"/>
      </patternFill>
    </fill>
    <fill>
      <patternFill patternType="solid">
        <fgColor rgb="FFE2B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wrapText="1"/>
    </xf>
    <xf numFmtId="9" fontId="1" fillId="6" borderId="1" xfId="0" applyNumberFormat="1" applyFont="1" applyFill="1" applyBorder="1"/>
    <xf numFmtId="3" fontId="1" fillId="8" borderId="1" xfId="0" applyNumberFormat="1" applyFont="1" applyFill="1" applyBorder="1"/>
    <xf numFmtId="0" fontId="1" fillId="8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10" fontId="1" fillId="8" borderId="1" xfId="0" applyNumberFormat="1" applyFont="1" applyFill="1" applyBorder="1"/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/>
    <xf numFmtId="0" fontId="1" fillId="1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2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/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/>
    <xf numFmtId="0" fontId="1" fillId="21" borderId="1" xfId="0" applyFont="1" applyFill="1" applyBorder="1" applyAlignment="1">
      <alignment horizontal="center"/>
    </xf>
    <xf numFmtId="3" fontId="1" fillId="22" borderId="1" xfId="0" applyNumberFormat="1" applyFont="1" applyFill="1" applyBorder="1"/>
    <xf numFmtId="0" fontId="1" fillId="24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right"/>
    </xf>
    <xf numFmtId="3" fontId="1" fillId="6" borderId="1" xfId="0" applyNumberFormat="1" applyFont="1" applyFill="1" applyBorder="1"/>
    <xf numFmtId="0" fontId="1" fillId="11" borderId="1" xfId="0" applyFont="1" applyFill="1" applyBorder="1" applyAlignment="1">
      <alignment horizontal="right" vertical="center"/>
    </xf>
    <xf numFmtId="0" fontId="1" fillId="26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horizontal="right" vertical="center"/>
    </xf>
    <xf numFmtId="0" fontId="1" fillId="16" borderId="1" xfId="0" applyFont="1" applyFill="1" applyBorder="1" applyAlignment="1">
      <alignment horizontal="right"/>
    </xf>
    <xf numFmtId="164" fontId="1" fillId="29" borderId="1" xfId="0" applyNumberFormat="1" applyFont="1" applyFill="1" applyBorder="1"/>
    <xf numFmtId="0" fontId="1" fillId="29" borderId="1" xfId="0" applyFont="1" applyFill="1" applyBorder="1"/>
    <xf numFmtId="0" fontId="1" fillId="7" borderId="1" xfId="0" applyFont="1" applyFill="1" applyBorder="1"/>
    <xf numFmtId="0" fontId="1" fillId="25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24" borderId="1" xfId="0" applyFont="1" applyFill="1" applyBorder="1"/>
    <xf numFmtId="9" fontId="1" fillId="15" borderId="1" xfId="0" applyNumberFormat="1" applyFont="1" applyFill="1" applyBorder="1"/>
    <xf numFmtId="0" fontId="1" fillId="26" borderId="1" xfId="0" applyFont="1" applyFill="1" applyBorder="1"/>
    <xf numFmtId="3" fontId="1" fillId="8" borderId="1" xfId="0" applyNumberFormat="1" applyFont="1" applyFill="1" applyBorder="1" applyAlignment="1">
      <alignment horizontal="right"/>
    </xf>
    <xf numFmtId="9" fontId="1" fillId="15" borderId="1" xfId="0" applyNumberFormat="1" applyFont="1" applyFill="1" applyBorder="1" applyAlignment="1">
      <alignment horizontal="right"/>
    </xf>
    <xf numFmtId="9" fontId="1" fillId="28" borderId="1" xfId="0" applyNumberFormat="1" applyFont="1" applyFill="1" applyBorder="1"/>
    <xf numFmtId="0" fontId="1" fillId="30" borderId="1" xfId="0" applyFont="1" applyFill="1" applyBorder="1" applyAlignment="1">
      <alignment horizontal="center"/>
    </xf>
    <xf numFmtId="0" fontId="1" fillId="28" borderId="1" xfId="0" applyFont="1" applyFill="1" applyBorder="1"/>
    <xf numFmtId="0" fontId="1" fillId="31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0" borderId="0" xfId="0" applyFont="1"/>
    <xf numFmtId="0" fontId="1" fillId="27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right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right"/>
    </xf>
    <xf numFmtId="0" fontId="4" fillId="20" borderId="1" xfId="0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BC2E6"/>
      <color rgb="FFE2B8C8"/>
      <color rgb="FFB54B73"/>
      <color rgb="FF666699"/>
      <color rgb="FF0099CC"/>
      <color rgb="FFCDACE6"/>
      <color rgb="FF9954CC"/>
      <color rgb="FFE9C093"/>
      <color rgb="FFD68832"/>
      <color rgb="FF30D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6CC4-5887-44F6-B457-D27A385E2E46}">
  <dimension ref="B2:Q38"/>
  <sheetViews>
    <sheetView tabSelected="1" zoomScale="85" zoomScaleNormal="85" workbookViewId="0">
      <selection activeCell="G10" sqref="G10"/>
    </sheetView>
  </sheetViews>
  <sheetFormatPr defaultRowHeight="15"/>
  <cols>
    <col min="1" max="1" width="2.7109375" style="51" customWidth="1"/>
    <col min="2" max="8" width="20.7109375" style="51" customWidth="1"/>
    <col min="9" max="9" width="2.7109375" style="51" customWidth="1"/>
    <col min="10" max="14" width="15.7109375" style="51" customWidth="1"/>
    <col min="15" max="16384" width="9.140625" style="51"/>
  </cols>
  <sheetData>
    <row r="2" spans="2:17" ht="19.149999999999999" customHeight="1">
      <c r="B2" s="58" t="s">
        <v>82</v>
      </c>
      <c r="C2" s="58"/>
      <c r="D2" s="58"/>
      <c r="E2" s="58"/>
      <c r="F2" s="58"/>
      <c r="G2" s="58"/>
      <c r="H2" s="58"/>
      <c r="J2" s="54" t="s">
        <v>34</v>
      </c>
      <c r="K2" s="54"/>
      <c r="L2" s="54"/>
      <c r="M2" s="54"/>
      <c r="N2" s="54"/>
    </row>
    <row r="3" spans="2:17">
      <c r="B3" s="58"/>
      <c r="C3" s="58"/>
      <c r="D3" s="58"/>
      <c r="E3" s="58"/>
      <c r="F3" s="58"/>
      <c r="G3" s="58"/>
      <c r="H3" s="58"/>
      <c r="J3" s="29" t="s">
        <v>35</v>
      </c>
      <c r="K3" s="29" t="s">
        <v>36</v>
      </c>
      <c r="L3" s="29" t="s">
        <v>37</v>
      </c>
      <c r="M3" s="29" t="s">
        <v>38</v>
      </c>
      <c r="N3" s="29" t="s">
        <v>39</v>
      </c>
    </row>
    <row r="4" spans="2:17">
      <c r="B4" s="53" t="s">
        <v>8</v>
      </c>
      <c r="C4" s="53"/>
      <c r="D4" s="53"/>
      <c r="E4" s="53"/>
      <c r="F4" s="53"/>
      <c r="G4" s="53"/>
      <c r="H4" s="53"/>
      <c r="J4" s="30" t="s">
        <v>40</v>
      </c>
      <c r="K4" s="31">
        <f>5000 * (B6/10000) * IF(F6/B6&gt;100, 1+(F6/B6-100)/200, 1)</f>
        <v>2500</v>
      </c>
      <c r="L4" s="31">
        <f>10000 * (B6/10000) * IF(F6/B6&gt;100, 1+(F6/B6-100)/200, 1)</f>
        <v>5000</v>
      </c>
      <c r="M4" s="31">
        <f>40000 * (B6/10000) * IF(F6/B6&gt;100, 1+(F6/B6-100)/200, 1)</f>
        <v>20000</v>
      </c>
      <c r="N4" s="31">
        <v>3000</v>
      </c>
    </row>
    <row r="5" spans="2:17" ht="16.899999999999999" customHeight="1">
      <c r="B5" s="2" t="s">
        <v>0</v>
      </c>
      <c r="C5" s="2" t="s">
        <v>3</v>
      </c>
      <c r="D5" s="3" t="s">
        <v>19</v>
      </c>
      <c r="E5" s="4" t="s">
        <v>4</v>
      </c>
      <c r="F5" s="5" t="s">
        <v>5</v>
      </c>
      <c r="G5" s="5" t="s">
        <v>6</v>
      </c>
      <c r="H5" s="6" t="s">
        <v>2</v>
      </c>
      <c r="J5" s="30" t="s">
        <v>41</v>
      </c>
      <c r="K5" s="31">
        <f>7500 * (B6/10000) * IF(F6/B6&gt;100, 1+(F6/B6-100)/200, 1)</f>
        <v>3750</v>
      </c>
      <c r="L5" s="31">
        <f>20000 * (B6/10000) * IF(F6/B6&gt;100, 1+(F6/B6-100)/200, 1)</f>
        <v>10000</v>
      </c>
      <c r="M5" s="31">
        <f>70000 * (B6/10000) * IF(F6/B6&gt;100, 1+(F6/B6-100)/200, 1)</f>
        <v>35000</v>
      </c>
      <c r="N5" s="31">
        <v>6000</v>
      </c>
      <c r="O5" s="1"/>
    </row>
    <row r="6" spans="2:17" ht="16.899999999999999" customHeight="1">
      <c r="B6" s="7">
        <v>5000</v>
      </c>
      <c r="C6" s="7">
        <f>B6+(B6*C7)</f>
        <v>5050</v>
      </c>
      <c r="D6" s="8">
        <v>0.03</v>
      </c>
      <c r="E6" s="8">
        <v>0.02</v>
      </c>
      <c r="F6" s="9">
        <v>500000</v>
      </c>
      <c r="G6" s="9">
        <f>MIN((F6+(F6*(G7-D6-E6))),B6*1000)</f>
        <v>500000</v>
      </c>
      <c r="H6" s="59">
        <f>F6*D6*E7</f>
        <v>6000</v>
      </c>
      <c r="J6" s="30" t="s">
        <v>42</v>
      </c>
      <c r="K6" s="31">
        <f>10000 * (B6/10000) * IF(F6/B6&gt;100, 1+(F6/B6-100)/200, 1)</f>
        <v>5000</v>
      </c>
      <c r="L6" s="31">
        <f>30000 * (B6/10000) * IF(F6/B6&gt;100, 1+(F6/B6-100)/200, 1)</f>
        <v>15000</v>
      </c>
      <c r="M6" s="31">
        <f>100000 * (B6/10000) * IF(F6/B6&gt;100, 1+(F6/B6-100)/200, 1)</f>
        <v>50000</v>
      </c>
      <c r="N6" s="31">
        <v>10000</v>
      </c>
    </row>
    <row r="7" spans="2:17">
      <c r="B7" s="11" t="s">
        <v>10</v>
      </c>
      <c r="C7" s="12">
        <v>0.01</v>
      </c>
      <c r="D7" s="13" t="s">
        <v>1</v>
      </c>
      <c r="E7" s="8">
        <v>0.4</v>
      </c>
      <c r="F7" s="5" t="s">
        <v>7</v>
      </c>
      <c r="G7" s="14">
        <v>0.05</v>
      </c>
      <c r="H7" s="59"/>
    </row>
    <row r="8" spans="2:17">
      <c r="B8" s="53" t="s">
        <v>11</v>
      </c>
      <c r="C8" s="53"/>
      <c r="D8" s="53"/>
      <c r="E8" s="53"/>
      <c r="F8" s="53"/>
      <c r="G8" s="53"/>
      <c r="H8" s="53"/>
      <c r="J8" s="54" t="s">
        <v>43</v>
      </c>
      <c r="K8" s="54"/>
      <c r="L8" s="54"/>
      <c r="M8" s="54"/>
      <c r="N8" s="54"/>
    </row>
    <row r="9" spans="2:17" ht="16.899999999999999" customHeight="1">
      <c r="B9" s="2" t="s">
        <v>0</v>
      </c>
      <c r="C9" s="2" t="s">
        <v>3</v>
      </c>
      <c r="D9" s="4" t="s">
        <v>9</v>
      </c>
      <c r="E9" s="4" t="s">
        <v>13</v>
      </c>
      <c r="F9" s="5" t="s">
        <v>18</v>
      </c>
      <c r="G9" s="5" t="s">
        <v>6</v>
      </c>
      <c r="H9" s="6" t="s">
        <v>12</v>
      </c>
      <c r="J9" s="32" t="s">
        <v>45</v>
      </c>
      <c r="K9" s="33">
        <f>B10/5000</f>
        <v>2</v>
      </c>
      <c r="L9" s="32" t="s">
        <v>47</v>
      </c>
      <c r="M9" s="55" t="str">
        <f>IF(B6=0, "Ошибка (деление на 0)", IF(F6/B6&gt;=180, "Тяжелая кавалерия", IF(F6/B6&gt;=150, "Средняя кавалерия", IF(F6/B6&gt;=120, "Тяжелые копейщики", IF(F6/B6&gt;=80, "Средние копейщики", IF(F6/B6&gt;=30, "Легкие копейщики", "Нет ополчения"))))))</f>
        <v>Средние копейщики</v>
      </c>
      <c r="N9" s="55"/>
    </row>
    <row r="10" spans="2:17">
      <c r="B10" s="7">
        <v>10000</v>
      </c>
      <c r="C10" s="7">
        <f>B10+(B10*C11)</f>
        <v>10100</v>
      </c>
      <c r="D10" s="8">
        <v>0.03</v>
      </c>
      <c r="E10" s="8">
        <v>0.01</v>
      </c>
      <c r="F10" s="9">
        <v>1000000</v>
      </c>
      <c r="G10" s="9">
        <f>MIN((F10+(F10*(G11-D10-E10))),B10*1000)</f>
        <v>1010000</v>
      </c>
      <c r="H10" s="59">
        <f>F10*E10*E11</f>
        <v>4000</v>
      </c>
      <c r="J10" s="34" t="s">
        <v>46</v>
      </c>
      <c r="K10" s="20">
        <f>B6/5000</f>
        <v>1</v>
      </c>
      <c r="L10" s="34" t="s">
        <v>48</v>
      </c>
      <c r="M10" s="57" t="str">
        <f>IF(B10=0, "Ошибка (деление на 0)", IF(F10/B10&gt;=180, "Тяжелая кавалерия", IF(F10/B10&gt;=150, "Средняя кавалерия", IF(F10/B10&gt;=120, "Тяжелые копейщики", IF(F10/B10&gt;=80, "Средние копейщики", IF(F10/B6&gt;=30, "Легкие копейщики", "Нет ополчения"))))))</f>
        <v>Средние копейщики</v>
      </c>
      <c r="N10" s="57"/>
    </row>
    <row r="11" spans="2:17">
      <c r="B11" s="11" t="s">
        <v>10</v>
      </c>
      <c r="C11" s="12">
        <v>0.01</v>
      </c>
      <c r="D11" s="13" t="s">
        <v>1</v>
      </c>
      <c r="E11" s="8">
        <f>E7</f>
        <v>0.4</v>
      </c>
      <c r="F11" s="5" t="s">
        <v>7</v>
      </c>
      <c r="G11" s="14">
        <v>0.05</v>
      </c>
      <c r="H11" s="59"/>
      <c r="J11" s="35" t="s">
        <v>44</v>
      </c>
      <c r="K11" s="36">
        <v>3</v>
      </c>
      <c r="L11" s="56" t="s">
        <v>49</v>
      </c>
      <c r="M11" s="56"/>
      <c r="N11" s="37">
        <v>3</v>
      </c>
      <c r="Q11" s="51" t="s">
        <v>75</v>
      </c>
    </row>
    <row r="12" spans="2:17">
      <c r="B12" s="53" t="s">
        <v>15</v>
      </c>
      <c r="C12" s="53"/>
      <c r="D12" s="53" t="s">
        <v>14</v>
      </c>
      <c r="E12" s="53"/>
      <c r="F12" s="53" t="s">
        <v>17</v>
      </c>
      <c r="G12" s="53"/>
      <c r="H12" s="53"/>
      <c r="J12" s="54" t="s">
        <v>50</v>
      </c>
      <c r="K12" s="54"/>
      <c r="L12" s="54"/>
      <c r="M12" s="54"/>
      <c r="N12" s="54"/>
    </row>
    <row r="13" spans="2:17">
      <c r="B13" s="15" t="s">
        <v>33</v>
      </c>
      <c r="C13" s="16"/>
      <c r="D13" s="15" t="s">
        <v>16</v>
      </c>
      <c r="E13" s="16" t="str">
        <f>N30</f>
        <v>Прев. лимит</v>
      </c>
      <c r="F13" s="13" t="s">
        <v>29</v>
      </c>
      <c r="G13" s="17" t="s">
        <v>20</v>
      </c>
      <c r="H13" s="18" t="s">
        <v>26</v>
      </c>
      <c r="J13" s="29" t="s">
        <v>80</v>
      </c>
      <c r="K13" s="38" t="s">
        <v>52</v>
      </c>
      <c r="L13" s="39" t="s">
        <v>53</v>
      </c>
      <c r="M13" s="40" t="s">
        <v>20</v>
      </c>
      <c r="N13" s="41" t="s">
        <v>66</v>
      </c>
      <c r="O13" s="1"/>
    </row>
    <row r="14" spans="2:17">
      <c r="B14" s="19"/>
      <c r="C14" s="16"/>
      <c r="D14" s="19" t="s">
        <v>81</v>
      </c>
      <c r="E14" s="16">
        <f>N33+N34+N35+N36+N37</f>
        <v>2700</v>
      </c>
      <c r="F14" s="50" t="s">
        <v>21</v>
      </c>
      <c r="G14" s="20">
        <v>1</v>
      </c>
      <c r="H14" s="10">
        <v>0</v>
      </c>
      <c r="J14" s="30" t="s">
        <v>51</v>
      </c>
      <c r="K14" s="9">
        <f>20000*(1-L14)</f>
        <v>20000</v>
      </c>
      <c r="L14" s="42">
        <v>0</v>
      </c>
      <c r="M14" s="43">
        <v>3</v>
      </c>
      <c r="N14" s="31">
        <f>(K14*M14*(1-L30)) * IF(M30="Да", 0.2, IF(M30="Нет", 0.1, "Ошибка в N30"))</f>
        <v>6000</v>
      </c>
    </row>
    <row r="15" spans="2:17">
      <c r="B15" s="19"/>
      <c r="C15" s="16"/>
      <c r="D15" s="19"/>
      <c r="E15" s="16"/>
      <c r="F15" s="50" t="s">
        <v>22</v>
      </c>
      <c r="G15" s="20">
        <v>1</v>
      </c>
      <c r="H15" s="21" t="s">
        <v>27</v>
      </c>
      <c r="J15" s="30" t="s">
        <v>54</v>
      </c>
      <c r="K15" s="9">
        <f>50000*(1-L15)</f>
        <v>50000</v>
      </c>
      <c r="L15" s="42">
        <v>0</v>
      </c>
      <c r="M15" s="43">
        <v>2</v>
      </c>
      <c r="N15" s="31">
        <f>(K15*M15*(1-L30)) * IF(M30="Да", 0.2, IF(M30="Нет", 0.1, "Ошибка в N30"))</f>
        <v>10000</v>
      </c>
    </row>
    <row r="16" spans="2:17">
      <c r="B16" s="19"/>
      <c r="C16" s="16"/>
      <c r="D16" s="19"/>
      <c r="E16" s="16"/>
      <c r="F16" s="50" t="s">
        <v>23</v>
      </c>
      <c r="G16" s="20">
        <v>0</v>
      </c>
      <c r="H16" s="22">
        <v>0</v>
      </c>
      <c r="J16" s="30" t="s">
        <v>55</v>
      </c>
      <c r="K16" s="9">
        <f>90000*(1-L16)</f>
        <v>90000</v>
      </c>
      <c r="L16" s="42">
        <v>0</v>
      </c>
      <c r="M16" s="43">
        <v>2</v>
      </c>
      <c r="N16" s="31">
        <f>(K16*M16*(1-L30)) * IF(M30="Да", 0.2, IF(M30="Нет", 0.1, "Ошибка в N30"))</f>
        <v>18000</v>
      </c>
    </row>
    <row r="17" spans="2:14">
      <c r="B17" s="19"/>
      <c r="C17" s="16"/>
      <c r="D17" s="19"/>
      <c r="E17" s="16"/>
      <c r="F17" s="50" t="s">
        <v>24</v>
      </c>
      <c r="G17" s="20">
        <v>0</v>
      </c>
      <c r="H17" s="23" t="s">
        <v>28</v>
      </c>
      <c r="J17" s="30" t="s">
        <v>56</v>
      </c>
      <c r="K17" s="9">
        <f>20000*(1-L17)</f>
        <v>20000</v>
      </c>
      <c r="L17" s="42">
        <v>0</v>
      </c>
      <c r="M17" s="43">
        <v>0</v>
      </c>
      <c r="N17" s="31">
        <f>(K17*M17*(1-L30)) * IF(M30="Да", 0.2, IF(M30="Нет", 0.1, "Ошибка в N30"))</f>
        <v>0</v>
      </c>
    </row>
    <row r="18" spans="2:14">
      <c r="B18" s="19"/>
      <c r="C18" s="16"/>
      <c r="D18" s="19"/>
      <c r="E18" s="16"/>
      <c r="F18" s="50" t="s">
        <v>25</v>
      </c>
      <c r="G18" s="20">
        <v>0</v>
      </c>
      <c r="H18" s="24">
        <v>0</v>
      </c>
      <c r="J18" s="30" t="s">
        <v>57</v>
      </c>
      <c r="K18" s="9">
        <f>50000*(1-L18)</f>
        <v>50000</v>
      </c>
      <c r="L18" s="42">
        <v>0</v>
      </c>
      <c r="M18" s="43">
        <v>0</v>
      </c>
      <c r="N18" s="31">
        <f>(K18*M18*(1-L30)) * IF(M30="Да", 0.2, IF(M30="Нет", 0.1, "Ошибка в N30"))</f>
        <v>0</v>
      </c>
    </row>
    <row r="19" spans="2:14">
      <c r="B19" s="19"/>
      <c r="C19" s="16"/>
      <c r="D19" s="19"/>
      <c r="E19" s="16"/>
      <c r="F19" s="25" t="s">
        <v>83</v>
      </c>
      <c r="G19" s="26">
        <f>5+(G14*0)+(G15*1)+(G16*2)+(G17*5)+(G18*10)+H14+H16+H18</f>
        <v>6</v>
      </c>
      <c r="H19" s="26">
        <v>6</v>
      </c>
      <c r="J19" s="30" t="s">
        <v>58</v>
      </c>
      <c r="K19" s="9">
        <f>90000*(1-L19)</f>
        <v>90000</v>
      </c>
      <c r="L19" s="42">
        <v>0</v>
      </c>
      <c r="M19" s="43">
        <v>0</v>
      </c>
      <c r="N19" s="31">
        <f>(K19*M19*(1-L30)) * IF(M30="Да", 0.2, IF(M30="Нет", 0.1, "Ошибка в N30"))</f>
        <v>0</v>
      </c>
    </row>
    <row r="20" spans="2:14">
      <c r="B20" s="19"/>
      <c r="C20" s="16"/>
      <c r="D20" s="19"/>
      <c r="E20" s="16"/>
      <c r="F20" s="27" t="s">
        <v>30</v>
      </c>
      <c r="G20" s="27" t="s">
        <v>31</v>
      </c>
      <c r="H20" s="27" t="s">
        <v>32</v>
      </c>
      <c r="J20" s="30" t="s">
        <v>59</v>
      </c>
      <c r="K20" s="9">
        <f>50000*(1-L20)</f>
        <v>50000</v>
      </c>
      <c r="L20" s="42">
        <v>0</v>
      </c>
      <c r="M20" s="43">
        <v>0</v>
      </c>
      <c r="N20" s="31">
        <f>(K20*M20*(1-L30)) * IF(M30="Да", 0.2, IF(M30="Нет", 0.1, "Ошибка в N30"))</f>
        <v>0</v>
      </c>
    </row>
    <row r="21" spans="2:14">
      <c r="B21" s="19"/>
      <c r="C21" s="16"/>
      <c r="D21" s="19"/>
      <c r="E21" s="16"/>
      <c r="F21" s="28">
        <v>50000</v>
      </c>
      <c r="G21" s="28">
        <f>H6+H10+SUM(C13:C21)-SUM(E13:E21)</f>
        <v>7300</v>
      </c>
      <c r="H21" s="28">
        <f>F21+G21</f>
        <v>57300</v>
      </c>
      <c r="J21" s="30" t="s">
        <v>60</v>
      </c>
      <c r="K21" s="9">
        <f>100000*(1-L21)</f>
        <v>100000</v>
      </c>
      <c r="L21" s="42">
        <v>0</v>
      </c>
      <c r="M21" s="43">
        <v>0</v>
      </c>
      <c r="N21" s="31">
        <f>(K21*M21*(1-L30)) * IF(M30="Да", 0.2, IF(M30="Нет", 0.1, "Ошибка в N30"))</f>
        <v>0</v>
      </c>
    </row>
    <row r="22" spans="2:14">
      <c r="J22" s="30" t="s">
        <v>65</v>
      </c>
      <c r="K22" s="9">
        <f>220000*(1-L22)</f>
        <v>220000</v>
      </c>
      <c r="L22" s="42">
        <v>0</v>
      </c>
      <c r="M22" s="43">
        <v>0</v>
      </c>
      <c r="N22" s="31">
        <f>(K22*M22*(1-L30)) * IF(M30="Да", 0.2, IF(M30="Нет", 0.1, "Ошибка в N30"))</f>
        <v>0</v>
      </c>
    </row>
    <row r="23" spans="2:14">
      <c r="J23" s="30" t="s">
        <v>61</v>
      </c>
      <c r="K23" s="9">
        <f>25000*(1-L23)</f>
        <v>25000</v>
      </c>
      <c r="L23" s="42">
        <v>0</v>
      </c>
      <c r="M23" s="43">
        <v>0</v>
      </c>
      <c r="N23" s="31">
        <f>(K23*M23*(1-L30)) * IF(M30="Да", 0.2, IF(M30="Нет", 0.1, "Ошибка в N30"))</f>
        <v>0</v>
      </c>
    </row>
    <row r="24" spans="2:14">
      <c r="J24" s="30" t="s">
        <v>62</v>
      </c>
      <c r="K24" s="44" t="s">
        <v>69</v>
      </c>
      <c r="L24" s="45" t="s">
        <v>69</v>
      </c>
      <c r="M24" s="43">
        <v>0</v>
      </c>
      <c r="N24" s="31">
        <f>(K23*M24*(1-L30)) * IF(M30="Да", 0.2, IF(M30="Нет", 0.1, "Ошибка в N30"))</f>
        <v>0</v>
      </c>
    </row>
    <row r="25" spans="2:14">
      <c r="J25" s="30" t="s">
        <v>63</v>
      </c>
      <c r="K25" s="9">
        <f>80000*(1-L25)</f>
        <v>80000</v>
      </c>
      <c r="L25" s="42">
        <v>0</v>
      </c>
      <c r="M25" s="43">
        <v>0</v>
      </c>
      <c r="N25" s="31">
        <f>(K25*M25*(1-L30)) * IF(M30="Да", 0.2, IF(M30="Нет", 0.1, "Ошибка в N30"))</f>
        <v>0</v>
      </c>
    </row>
    <row r="26" spans="2:14">
      <c r="J26" s="30" t="s">
        <v>64</v>
      </c>
      <c r="K26" s="9">
        <f>50000*(1-L26)</f>
        <v>50000</v>
      </c>
      <c r="L26" s="42">
        <v>0</v>
      </c>
      <c r="M26" s="43">
        <v>0</v>
      </c>
      <c r="N26" s="31">
        <f>(K26*M26*(1-L30)) * IF(M30="Да", 0.2, IF(M30="Нет", 0.1, "Ошибка в N30"))</f>
        <v>0</v>
      </c>
    </row>
    <row r="27" spans="2:14">
      <c r="J27" s="30" t="s">
        <v>67</v>
      </c>
      <c r="K27" s="9">
        <f>40000*(1-L27)</f>
        <v>40000</v>
      </c>
      <c r="L27" s="42">
        <v>0</v>
      </c>
      <c r="M27" s="43">
        <v>0</v>
      </c>
      <c r="N27" s="31">
        <f>(K27*M27*(1-L30)) * IF(M30="Да", 0.2, IF(M30="Нет", 0.1, "Ошибка в N30"))</f>
        <v>0</v>
      </c>
    </row>
    <row r="28" spans="2:14">
      <c r="J28" s="30" t="s">
        <v>68</v>
      </c>
      <c r="K28" s="9">
        <f>30000*(1-L28)</f>
        <v>30000</v>
      </c>
      <c r="L28" s="42">
        <v>0</v>
      </c>
      <c r="M28" s="43">
        <v>0</v>
      </c>
      <c r="N28" s="31">
        <f>(K28*M28*(1-L30)) * IF(M30="Да", 0.2, IF(M30="Нет", 0.1, "Ошибка в N30"))</f>
        <v>0</v>
      </c>
    </row>
    <row r="29" spans="2:14">
      <c r="J29" s="52" t="s">
        <v>70</v>
      </c>
      <c r="K29" s="46">
        <v>0.05</v>
      </c>
      <c r="L29" s="17" t="s">
        <v>74</v>
      </c>
      <c r="M29" s="47" t="s">
        <v>72</v>
      </c>
      <c r="N29" s="30" t="s">
        <v>66</v>
      </c>
    </row>
    <row r="30" spans="2:14">
      <c r="J30" s="52" t="s">
        <v>71</v>
      </c>
      <c r="K30" s="48">
        <f>B6*K29</f>
        <v>250</v>
      </c>
      <c r="L30" s="42">
        <v>0</v>
      </c>
      <c r="M30" s="49" t="s">
        <v>73</v>
      </c>
      <c r="N30" s="50" t="str">
        <f>IF(SUM(M14:M28)*100 &lt;= K30, SUM(N14:N28), "Прев. лимит")</f>
        <v>Прев. лимит</v>
      </c>
    </row>
    <row r="31" spans="2:14">
      <c r="J31" s="54" t="s">
        <v>76</v>
      </c>
      <c r="K31" s="54"/>
      <c r="L31" s="54"/>
      <c r="M31" s="54"/>
      <c r="N31" s="54"/>
    </row>
    <row r="32" spans="2:14">
      <c r="J32" s="61" t="s">
        <v>77</v>
      </c>
      <c r="K32" s="61"/>
      <c r="L32" s="39" t="s">
        <v>53</v>
      </c>
      <c r="M32" s="40" t="s">
        <v>78</v>
      </c>
      <c r="N32" s="13" t="s">
        <v>66</v>
      </c>
    </row>
    <row r="33" spans="10:14">
      <c r="J33" s="62" t="s">
        <v>79</v>
      </c>
      <c r="K33" s="62"/>
      <c r="L33" s="42">
        <v>0</v>
      </c>
      <c r="M33" s="43">
        <v>2</v>
      </c>
      <c r="N33" s="31">
        <f>IF(M33=1,40000,IF(M33=2,90000,IF(M33=3,200000,IF(M33=4,450000,IF(M33=5,1000000,0)))))*3%*(1-L33)</f>
        <v>2700</v>
      </c>
    </row>
    <row r="34" spans="10:14">
      <c r="J34" s="60"/>
      <c r="K34" s="60"/>
      <c r="L34" s="20"/>
      <c r="M34" s="43"/>
      <c r="N34" s="31">
        <f>IF(M34=1,40000,IF(M34=2,90000,IF(M34=3,200000,IF(M34=4,450000,IF(M34=5,1000000,0)))))*3%*(1-L34)</f>
        <v>0</v>
      </c>
    </row>
    <row r="35" spans="10:14">
      <c r="J35" s="60"/>
      <c r="K35" s="60"/>
      <c r="L35" s="20"/>
      <c r="M35" s="43"/>
      <c r="N35" s="31">
        <f>IF(M35=1,40000,IF(M35=2,90000,IF(M35=3,200000,IF(M35=4,450000,IF(M35=5,1000000,0)))))*3%*(1-L35)</f>
        <v>0</v>
      </c>
    </row>
    <row r="36" spans="10:14">
      <c r="J36" s="60"/>
      <c r="K36" s="60"/>
      <c r="L36" s="20"/>
      <c r="M36" s="43"/>
      <c r="N36" s="31">
        <f>IF(M36=1,40000,IF(M36=2,90000,IF(M36=3,200000,IF(M36=4,450000,IF(M36=5,1000000,0)))))*3%*(1-L36)</f>
        <v>0</v>
      </c>
    </row>
    <row r="37" spans="10:14">
      <c r="J37" s="60"/>
      <c r="K37" s="60"/>
      <c r="L37" s="20"/>
      <c r="M37" s="43"/>
      <c r="N37" s="31">
        <f>IF(M37=1,40000,IF(M37=2,90000,IF(M37=3,200000,IF(M37=4,450000,IF(M37=5,1000000,0)))))*3%*(1-L37)</f>
        <v>0</v>
      </c>
    </row>
    <row r="38" spans="10:14">
      <c r="J38" s="1"/>
      <c r="K38" s="1"/>
      <c r="L38" s="1"/>
      <c r="M38" s="1"/>
      <c r="N38" s="1"/>
    </row>
  </sheetData>
  <mergeCells count="21">
    <mergeCell ref="J37:K37"/>
    <mergeCell ref="J36:K36"/>
    <mergeCell ref="J35:K35"/>
    <mergeCell ref="J34:K34"/>
    <mergeCell ref="J12:N12"/>
    <mergeCell ref="J31:N31"/>
    <mergeCell ref="J32:K32"/>
    <mergeCell ref="J33:K33"/>
    <mergeCell ref="B12:C12"/>
    <mergeCell ref="D12:E12"/>
    <mergeCell ref="F12:H12"/>
    <mergeCell ref="J2:N2"/>
    <mergeCell ref="J8:N8"/>
    <mergeCell ref="M9:N9"/>
    <mergeCell ref="L11:M11"/>
    <mergeCell ref="M10:N10"/>
    <mergeCell ref="B2:H3"/>
    <mergeCell ref="B4:H4"/>
    <mergeCell ref="H6:H7"/>
    <mergeCell ref="B8:H8"/>
    <mergeCell ref="H10:H11"/>
  </mergeCells>
  <dataValidations disablePrompts="1" count="1">
    <dataValidation type="list" allowBlank="1" showInputMessage="1" showErrorMessage="1" sqref="M30" xr:uid="{F0E9EA9B-FCEA-42A3-B6CF-DDE3B2E3751E}">
      <formula1>"Да,Нет,"</formula1>
    </dataValidation>
  </dataValidations>
  <pageMargins left="0.7" right="0.7" top="0.75" bottom="0.75" header="0.3" footer="0.3"/>
  <pageSetup paperSize="9" orientation="portrait" horizontalDpi="300" verticalDpi="300" r:id="rId1"/>
  <ignoredErrors>
    <ignoredError sqref="K19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filon</dc:creator>
  <cp:lastModifiedBy>markokyugo@gmail.com</cp:lastModifiedBy>
  <dcterms:created xsi:type="dcterms:W3CDTF">2025-11-26T05:52:28Z</dcterms:created>
  <dcterms:modified xsi:type="dcterms:W3CDTF">2026-02-16T13:00:00Z</dcterms:modified>
</cp:coreProperties>
</file>